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Tempistica Progetto - modello 1" sheetId="1" r:id="rId1"/>
    <sheet name="Tempistica Progetto - modello 2" sheetId="2" r:id="rId2"/>
    <sheet name="Cronologia 2" sheetId="3" r:id="rId3"/>
    <sheet name="Cronologia 1" sheetId="4" r:id="rId4"/>
  </sheets>
  <calcPr calcId="145621"/>
</workbook>
</file>

<file path=xl/calcChain.xml><?xml version="1.0" encoding="utf-8"?>
<calcChain xmlns="http://schemas.openxmlformats.org/spreadsheetml/2006/main">
  <c r="E20" i="2" l="1"/>
  <c r="E19" i="2"/>
  <c r="E18" i="2"/>
  <c r="E17" i="2"/>
  <c r="E16" i="2"/>
  <c r="E15" i="2"/>
  <c r="E14" i="2"/>
  <c r="D14" i="2"/>
  <c r="E13" i="2"/>
  <c r="E12" i="2"/>
  <c r="D11" i="2"/>
  <c r="C11" i="2"/>
  <c r="E11" i="2" s="1"/>
  <c r="E10" i="2"/>
  <c r="E9" i="2"/>
  <c r="C8" i="2"/>
  <c r="E8" i="2" s="1"/>
  <c r="E7" i="2"/>
  <c r="E6" i="2"/>
  <c r="C5" i="2"/>
  <c r="E5" i="2" s="1"/>
  <c r="C4" i="2"/>
  <c r="E4" i="2" s="1"/>
  <c r="E3" i="2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</calcChain>
</file>

<file path=xl/sharedStrings.xml><?xml version="1.0" encoding="utf-8"?>
<sst xmlns="http://schemas.openxmlformats.org/spreadsheetml/2006/main" count="57" uniqueCount="51">
  <si>
    <t>Progetto SerraDomotica</t>
  </si>
  <si>
    <t>Nome attività</t>
  </si>
  <si>
    <t>Data inizio</t>
  </si>
  <si>
    <t>Data fine</t>
  </si>
  <si>
    <t>Durata</t>
  </si>
  <si>
    <t>Completamento%</t>
  </si>
  <si>
    <t>Formazione del gruppo</t>
  </si>
  <si>
    <t>Obiettivi generali</t>
  </si>
  <si>
    <t>Piano di progetto</t>
  </si>
  <si>
    <t>Documento dei requisiti</t>
  </si>
  <si>
    <t>Piano di testing</t>
  </si>
  <si>
    <t>Documento di progettazione</t>
  </si>
  <si>
    <t>Versione 1.0</t>
  </si>
  <si>
    <t>Consegna finale</t>
  </si>
  <si>
    <t>ID</t>
  </si>
  <si>
    <t>A1</t>
  </si>
  <si>
    <t>Raccolta proposte iniziali</t>
  </si>
  <si>
    <t>A2</t>
  </si>
  <si>
    <t>Scelta idea finale</t>
  </si>
  <si>
    <t>A3</t>
  </si>
  <si>
    <t>Definizione dei ruoli</t>
  </si>
  <si>
    <t>A4</t>
  </si>
  <si>
    <t>Analisi di mercato</t>
  </si>
  <si>
    <t>A5</t>
  </si>
  <si>
    <t>Analisi opinioni stakeholder</t>
  </si>
  <si>
    <t>A6</t>
  </si>
  <si>
    <t>Stesura/aggiornamento piano progetto</t>
  </si>
  <si>
    <t>A7</t>
  </si>
  <si>
    <t>Definizione attività sviluppo</t>
  </si>
  <si>
    <t>A8</t>
  </si>
  <si>
    <t>Definizione modalità testing</t>
  </si>
  <si>
    <t>A9</t>
  </si>
  <si>
    <t>Configurazione database</t>
  </si>
  <si>
    <t>A9.1</t>
  </si>
  <si>
    <t>Definizione schema relazionale</t>
  </si>
  <si>
    <t>A9.2</t>
  </si>
  <si>
    <t>Realizzazione database</t>
  </si>
  <si>
    <t>A10.0</t>
  </si>
  <si>
    <t>Sviluppo applicazione</t>
  </si>
  <si>
    <t>A10.1</t>
  </si>
  <si>
    <t>Progettazione applicazione</t>
  </si>
  <si>
    <t>A10.2</t>
  </si>
  <si>
    <t>Sviluppo UI/UX</t>
  </si>
  <si>
    <t>A10.3</t>
  </si>
  <si>
    <t>Sviluppo funzionalità</t>
  </si>
  <si>
    <t>A11</t>
  </si>
  <si>
    <t>Testing correzione bug</t>
  </si>
  <si>
    <t>A12</t>
  </si>
  <si>
    <t>Revisione documentazione</t>
  </si>
  <si>
    <t>A13</t>
  </si>
  <si>
    <t>Raccolta feedback utenti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</si>
</sst>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4">
    <font>
      <sz val="10"/>
      <color rgb="FF000000"/>
      <name val="Arial"/>
      <scheme val="minor"/>
    </font>
    <font>
      <b/>
      <sz val="10"/>
      <color theme="1"/>
      <name val="Lexend"/>
    </font>
    <font>
      <sz val="10"/>
      <name val="Arial"/>
    </font>
    <font>
      <sz val="10"/>
      <color theme="1"/>
      <name val="Lexend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3" borderId="4" xfId="0" applyFont="1" applyFill="1" applyBorder="1" applyAlignment="1">
      <alignment horizontal="center"/>
    </xf>
    <xf numFmtId="0" fontId="3" fillId="0" borderId="4" xfId="0" applyFont="1" applyBorder="1" applyAlignment="1"/>
    <xf numFmtId="14" fontId="3" fillId="0" borderId="4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471015638" name="Visualization1" title="Visualizzazione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Visualization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pic>
      <xdr:nvPicPr>
        <xdr:cNvPr id="1964828223" name="Visualization2" title="Visualizzazione">
          <a:extLs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Visualization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"/>
  <sheetViews>
    <sheetView tabSelected="1" workbookViewId="0">
      <selection sqref="A1:E1"/>
    </sheetView>
  </sheetViews>
  <sheetFormatPr defaultColWidth="12.6640625" defaultRowHeight="15.75" customHeight="1"/>
  <cols>
    <col min="1" max="1" width="21.88671875" customWidth="1"/>
    <col min="4" max="5" width="16.109375" customWidth="1"/>
  </cols>
  <sheetData>
    <row r="1" spans="1:5">
      <c r="A1" s="7" t="s">
        <v>0</v>
      </c>
      <c r="B1" s="8"/>
      <c r="C1" s="8"/>
      <c r="D1" s="8"/>
      <c r="E1" s="9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3">
        <v>45551</v>
      </c>
      <c r="C3" s="3">
        <v>45558</v>
      </c>
      <c r="D3" s="4">
        <f t="shared" ref="D3:D10" si="0">INT(C3)-INT(B3)</f>
        <v>7</v>
      </c>
      <c r="E3" s="5">
        <v>1</v>
      </c>
    </row>
    <row r="4" spans="1:5">
      <c r="A4" s="2" t="s">
        <v>7</v>
      </c>
      <c r="B4" s="3">
        <f t="shared" ref="B4:B10" si="1">C3</f>
        <v>45558</v>
      </c>
      <c r="C4" s="3">
        <v>45568</v>
      </c>
      <c r="D4" s="4">
        <f t="shared" si="0"/>
        <v>10</v>
      </c>
      <c r="E4" s="5">
        <v>1</v>
      </c>
    </row>
    <row r="5" spans="1:5">
      <c r="A5" s="2" t="s">
        <v>8</v>
      </c>
      <c r="B5" s="3">
        <f t="shared" si="1"/>
        <v>45568</v>
      </c>
      <c r="C5" s="3">
        <v>45582</v>
      </c>
      <c r="D5" s="4">
        <f t="shared" si="0"/>
        <v>14</v>
      </c>
      <c r="E5" s="5">
        <v>1</v>
      </c>
    </row>
    <row r="6" spans="1:5">
      <c r="A6" s="2" t="s">
        <v>9</v>
      </c>
      <c r="B6" s="3">
        <f t="shared" si="1"/>
        <v>45582</v>
      </c>
      <c r="C6" s="3">
        <v>45596</v>
      </c>
      <c r="D6" s="4">
        <f t="shared" si="0"/>
        <v>14</v>
      </c>
      <c r="E6" s="5">
        <v>1</v>
      </c>
    </row>
    <row r="7" spans="1:5">
      <c r="A7" s="2" t="s">
        <v>10</v>
      </c>
      <c r="B7" s="3">
        <f t="shared" si="1"/>
        <v>45596</v>
      </c>
      <c r="C7" s="3">
        <v>45610</v>
      </c>
      <c r="D7" s="4">
        <f t="shared" si="0"/>
        <v>14</v>
      </c>
      <c r="E7" s="5">
        <v>1</v>
      </c>
    </row>
    <row r="8" spans="1:5">
      <c r="A8" s="2" t="s">
        <v>11</v>
      </c>
      <c r="B8" s="3">
        <f t="shared" si="1"/>
        <v>45610</v>
      </c>
      <c r="C8" s="3">
        <v>45624</v>
      </c>
      <c r="D8" s="4">
        <f t="shared" si="0"/>
        <v>14</v>
      </c>
      <c r="E8" s="5">
        <v>1</v>
      </c>
    </row>
    <row r="9" spans="1:5">
      <c r="A9" s="2" t="s">
        <v>12</v>
      </c>
      <c r="B9" s="3">
        <f t="shared" si="1"/>
        <v>45624</v>
      </c>
      <c r="C9" s="3">
        <v>45641</v>
      </c>
      <c r="D9" s="4">
        <f t="shared" si="0"/>
        <v>17</v>
      </c>
      <c r="E9" s="5">
        <v>1</v>
      </c>
    </row>
    <row r="10" spans="1:5">
      <c r="A10" s="2" t="s">
        <v>13</v>
      </c>
      <c r="B10" s="3">
        <f t="shared" si="1"/>
        <v>45641</v>
      </c>
      <c r="C10" s="3">
        <v>45672</v>
      </c>
      <c r="D10" s="4">
        <f t="shared" si="0"/>
        <v>31</v>
      </c>
      <c r="E10" s="5">
        <v>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0"/>
  <sheetViews>
    <sheetView workbookViewId="0"/>
  </sheetViews>
  <sheetFormatPr defaultColWidth="12.6640625" defaultRowHeight="15.75" customHeight="1"/>
  <cols>
    <col min="1" max="1" width="8.44140625" customWidth="1"/>
    <col min="2" max="2" width="33.109375" customWidth="1"/>
    <col min="5" max="6" width="16.109375" customWidth="1"/>
  </cols>
  <sheetData>
    <row r="1" spans="1:6">
      <c r="A1" s="7" t="s">
        <v>0</v>
      </c>
      <c r="B1" s="8"/>
      <c r="C1" s="8"/>
      <c r="D1" s="8"/>
      <c r="E1" s="8"/>
      <c r="F1" s="9"/>
    </row>
    <row r="2" spans="1:6">
      <c r="A2" s="1" t="s">
        <v>14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2" t="s">
        <v>15</v>
      </c>
      <c r="B3" s="2" t="s">
        <v>16</v>
      </c>
      <c r="C3" s="3">
        <v>45558</v>
      </c>
      <c r="D3" s="3">
        <v>45558</v>
      </c>
      <c r="E3" s="4">
        <f t="shared" ref="E3:E20" si="0">INT(D3)-INT(C3)</f>
        <v>0</v>
      </c>
      <c r="F3" s="5">
        <v>1</v>
      </c>
    </row>
    <row r="4" spans="1:6">
      <c r="A4" s="2" t="s">
        <v>17</v>
      </c>
      <c r="B4" s="2" t="s">
        <v>18</v>
      </c>
      <c r="C4" s="3">
        <f t="shared" ref="C4:C5" si="1">D3</f>
        <v>45558</v>
      </c>
      <c r="D4" s="6">
        <v>45558</v>
      </c>
      <c r="E4" s="4">
        <f t="shared" si="0"/>
        <v>0</v>
      </c>
      <c r="F4" s="5">
        <v>1</v>
      </c>
    </row>
    <row r="5" spans="1:6">
      <c r="A5" s="2" t="s">
        <v>19</v>
      </c>
      <c r="B5" s="2" t="s">
        <v>20</v>
      </c>
      <c r="C5" s="3">
        <f t="shared" si="1"/>
        <v>45558</v>
      </c>
      <c r="D5" s="3">
        <v>45559</v>
      </c>
      <c r="E5" s="4">
        <f t="shared" si="0"/>
        <v>1</v>
      </c>
      <c r="F5" s="5">
        <v>1</v>
      </c>
    </row>
    <row r="6" spans="1:6">
      <c r="A6" s="2" t="s">
        <v>21</v>
      </c>
      <c r="B6" s="2" t="s">
        <v>22</v>
      </c>
      <c r="C6" s="3">
        <v>45559</v>
      </c>
      <c r="D6" s="3">
        <v>45559</v>
      </c>
      <c r="E6" s="4">
        <f t="shared" si="0"/>
        <v>0</v>
      </c>
      <c r="F6" s="5">
        <v>1</v>
      </c>
    </row>
    <row r="7" spans="1:6">
      <c r="A7" s="2" t="s">
        <v>23</v>
      </c>
      <c r="B7" s="2" t="s">
        <v>24</v>
      </c>
      <c r="C7" s="3">
        <v>45559</v>
      </c>
      <c r="D7" s="3">
        <v>45559</v>
      </c>
      <c r="E7" s="4">
        <f t="shared" si="0"/>
        <v>0</v>
      </c>
      <c r="F7" s="5">
        <v>1</v>
      </c>
    </row>
    <row r="8" spans="1:6">
      <c r="A8" s="2" t="s">
        <v>25</v>
      </c>
      <c r="B8" s="2" t="s">
        <v>26</v>
      </c>
      <c r="C8" s="3">
        <f>D7</f>
        <v>45559</v>
      </c>
      <c r="D8" s="3">
        <v>45672</v>
      </c>
      <c r="E8" s="4">
        <f t="shared" si="0"/>
        <v>113</v>
      </c>
      <c r="F8" s="5">
        <v>1</v>
      </c>
    </row>
    <row r="9" spans="1:6">
      <c r="A9" s="2" t="s">
        <v>27</v>
      </c>
      <c r="B9" s="2" t="s">
        <v>28</v>
      </c>
      <c r="C9" s="3">
        <v>45583</v>
      </c>
      <c r="D9" s="3">
        <v>45595</v>
      </c>
      <c r="E9" s="4">
        <f t="shared" si="0"/>
        <v>12</v>
      </c>
      <c r="F9" s="5">
        <v>1</v>
      </c>
    </row>
    <row r="10" spans="1:6">
      <c r="A10" s="2" t="s">
        <v>29</v>
      </c>
      <c r="B10" s="2" t="s">
        <v>30</v>
      </c>
      <c r="C10" s="3">
        <v>45601</v>
      </c>
      <c r="D10" s="3">
        <v>45610</v>
      </c>
      <c r="E10" s="4">
        <f t="shared" si="0"/>
        <v>9</v>
      </c>
      <c r="F10" s="5">
        <v>1</v>
      </c>
    </row>
    <row r="11" spans="1:6">
      <c r="A11" s="2" t="s">
        <v>31</v>
      </c>
      <c r="B11" s="2" t="s">
        <v>32</v>
      </c>
      <c r="C11" s="6">
        <f>C12</f>
        <v>45611</v>
      </c>
      <c r="D11" s="6">
        <f>D13</f>
        <v>45616</v>
      </c>
      <c r="E11" s="4">
        <f t="shared" si="0"/>
        <v>5</v>
      </c>
      <c r="F11" s="5">
        <v>1</v>
      </c>
    </row>
    <row r="12" spans="1:6">
      <c r="A12" s="2" t="s">
        <v>33</v>
      </c>
      <c r="B12" s="2" t="s">
        <v>34</v>
      </c>
      <c r="C12" s="6">
        <v>45611</v>
      </c>
      <c r="D12" s="6">
        <v>45613</v>
      </c>
      <c r="E12" s="4">
        <f t="shared" si="0"/>
        <v>2</v>
      </c>
      <c r="F12" s="5">
        <v>1</v>
      </c>
    </row>
    <row r="13" spans="1:6">
      <c r="A13" s="2" t="s">
        <v>35</v>
      </c>
      <c r="B13" s="2" t="s">
        <v>36</v>
      </c>
      <c r="C13" s="3">
        <v>45614</v>
      </c>
      <c r="D13" s="6">
        <v>45616</v>
      </c>
      <c r="E13" s="4">
        <f t="shared" si="0"/>
        <v>2</v>
      </c>
      <c r="F13" s="5">
        <v>1</v>
      </c>
    </row>
    <row r="14" spans="1:6">
      <c r="A14" s="2" t="s">
        <v>37</v>
      </c>
      <c r="B14" s="2" t="s">
        <v>38</v>
      </c>
      <c r="C14" s="3">
        <v>45566</v>
      </c>
      <c r="D14" s="3">
        <f>D17</f>
        <v>45583</v>
      </c>
      <c r="E14" s="4">
        <f t="shared" si="0"/>
        <v>17</v>
      </c>
      <c r="F14" s="5">
        <v>1</v>
      </c>
    </row>
    <row r="15" spans="1:6">
      <c r="A15" s="2" t="s">
        <v>39</v>
      </c>
      <c r="B15" s="2" t="s">
        <v>40</v>
      </c>
      <c r="C15" s="3">
        <v>45624</v>
      </c>
      <c r="D15" s="3">
        <v>45641</v>
      </c>
      <c r="E15" s="4">
        <f t="shared" si="0"/>
        <v>17</v>
      </c>
      <c r="F15" s="5">
        <v>1</v>
      </c>
    </row>
    <row r="16" spans="1:6">
      <c r="A16" s="2" t="s">
        <v>41</v>
      </c>
      <c r="B16" s="2" t="s">
        <v>42</v>
      </c>
      <c r="C16" s="3">
        <v>45627</v>
      </c>
      <c r="D16" s="3">
        <v>45672</v>
      </c>
      <c r="E16" s="4">
        <f t="shared" si="0"/>
        <v>45</v>
      </c>
      <c r="F16" s="5">
        <v>1</v>
      </c>
    </row>
    <row r="17" spans="1:6">
      <c r="A17" s="2" t="s">
        <v>43</v>
      </c>
      <c r="B17" s="2" t="s">
        <v>44</v>
      </c>
      <c r="C17" s="3">
        <v>45570</v>
      </c>
      <c r="D17" s="3">
        <v>45583</v>
      </c>
      <c r="E17" s="4">
        <f t="shared" si="0"/>
        <v>13</v>
      </c>
      <c r="F17" s="5">
        <v>1</v>
      </c>
    </row>
    <row r="18" spans="1:6">
      <c r="A18" s="2" t="s">
        <v>45</v>
      </c>
      <c r="B18" s="2" t="s">
        <v>46</v>
      </c>
      <c r="C18" s="3">
        <v>45627</v>
      </c>
      <c r="D18" s="3">
        <v>45663</v>
      </c>
      <c r="E18" s="4">
        <f t="shared" si="0"/>
        <v>36</v>
      </c>
      <c r="F18" s="5">
        <v>1</v>
      </c>
    </row>
    <row r="19" spans="1:6">
      <c r="A19" s="2" t="s">
        <v>47</v>
      </c>
      <c r="B19" s="2" t="s">
        <v>48</v>
      </c>
      <c r="C19" s="3">
        <v>45575</v>
      </c>
      <c r="D19" s="3">
        <v>45660</v>
      </c>
      <c r="E19" s="4">
        <f t="shared" si="0"/>
        <v>85</v>
      </c>
      <c r="F19" s="5">
        <v>1</v>
      </c>
    </row>
    <row r="20" spans="1:6">
      <c r="A20" s="2" t="s">
        <v>49</v>
      </c>
      <c r="B20" s="2" t="s">
        <v>50</v>
      </c>
      <c r="C20" s="3">
        <v>45641</v>
      </c>
      <c r="D20" s="3">
        <v>45672</v>
      </c>
      <c r="E20" s="4">
        <f t="shared" si="0"/>
        <v>31</v>
      </c>
      <c r="F20" s="5">
        <v>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3.8"/>
  <sheetData/>
  <sheetProtection sheet="1" objects="1" selectLockedCells="1" selectUn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3.8"/>
  <sheetData/>
  <sheetProtection sheet="1" object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Tempistica Progetto - modello 1</vt:lpstr>
      <vt:lpstr>Tempistica Progetto - modello 2</vt:lpstr>
      <vt:lpstr>Cronologia 2</vt:lpstr>
      <vt:lpstr>Cronologia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2025-01-17T11:43:47Z</dcterms:created>
  <dcterms:modified xsi:type="dcterms:W3CDTF">2025-01-17T11:43:47Z</dcterms:modified>
</cp:coreProperties>
</file>